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21">
    <font>
      <name val="Calibri"/>
      <family val="2"/>
      <color theme="1"/>
      <sz val="11"/>
      <scheme val="minor"/>
    </font>
    <font>
      <name val="Helvetica"/>
      <b val="1"/>
      <color rgb="0016243F"/>
      <sz val="13"/>
    </font>
    <font>
      <name val="Helvetica"/>
      <color rgb="006B7684"/>
      <sz val="9"/>
    </font>
    <font>
      <name val="Helvetica"/>
      <i val="1"/>
      <color rgb="006B7684"/>
      <sz val="9"/>
    </font>
    <font>
      <name val="Helvetica"/>
      <b val="1"/>
      <color rgb="00FFFFFF"/>
      <sz val="10"/>
    </font>
    <font>
      <name val="Helvetica"/>
      <color rgb="001A1A1A"/>
      <sz val="9"/>
    </font>
    <font>
      <name val="Helvetica"/>
      <b val="1"/>
      <color rgb="001A1A1A"/>
      <sz val="10"/>
    </font>
    <font>
      <name val="Helvetica"/>
      <i val="1"/>
      <color rgb="006B7684"/>
      <sz val="8"/>
    </font>
    <font>
      <name val="Helvetica"/>
      <b val="1"/>
      <color rgb="00FFFFFF"/>
      <sz val="9"/>
    </font>
    <font>
      <name val="Helvetica"/>
      <b val="1"/>
      <color rgb="001A1A1A"/>
      <sz val="9"/>
    </font>
    <font>
      <name val="Helvetica"/>
      <b val="1"/>
      <color rgb="0016243F"/>
      <sz val="10"/>
    </font>
    <font>
      <name val="Helvetica"/>
      <b val="1"/>
      <color rgb="00FFFFFF"/>
      <sz val="11"/>
    </font>
    <font>
      <name val="Helvetica"/>
      <b val="1"/>
      <color rgb="00C41230"/>
      <sz val="10"/>
    </font>
    <font>
      <name val="Helvetica"/>
      <color rgb="00333333"/>
      <sz val="9"/>
    </font>
    <font>
      <name val="Helvetica"/>
      <color rgb="001F7A1F"/>
      <sz val="9"/>
    </font>
    <font>
      <name val="Helvetica"/>
      <i val="1"/>
      <color rgb="001F7A1F"/>
      <sz val="9"/>
    </font>
    <font>
      <name val="Helvetica"/>
      <b val="1"/>
      <color rgb="001F7A1F"/>
      <sz val="10"/>
    </font>
    <font>
      <name val="Helvetica"/>
      <b val="1"/>
      <i val="1"/>
      <color rgb="001F7A1F"/>
      <sz val="9"/>
    </font>
    <font>
      <name val="Helvetica"/>
      <color rgb="001A1A1A"/>
      <sz val="10"/>
    </font>
    <font>
      <name val="Helvetica"/>
      <b val="1"/>
      <color rgb="006B7684"/>
      <sz val="8"/>
    </font>
    <font>
      <name val="Helvetica"/>
      <color rgb="00333333"/>
      <sz val="8"/>
    </font>
  </fonts>
  <fills count="5">
    <fill>
      <patternFill/>
    </fill>
    <fill>
      <patternFill patternType="gray125"/>
    </fill>
    <fill>
      <patternFill patternType="solid">
        <fgColor rgb="0016243F"/>
      </patternFill>
    </fill>
    <fill>
      <patternFill patternType="solid">
        <fgColor rgb="00FFF2CC"/>
      </patternFill>
    </fill>
    <fill>
      <patternFill patternType="solid">
        <fgColor rgb="00C41230"/>
      </patternFill>
    </fill>
  </fills>
  <borders count="2">
    <border>
      <left/>
      <right/>
      <top/>
      <bottom/>
      <diagonal/>
    </border>
    <border>
      <left style="thin">
        <color rgb="00CBD3DC"/>
      </left>
      <right style="thin">
        <color rgb="00CBD3DC"/>
      </right>
      <top style="thin">
        <color rgb="00CBD3DC"/>
      </top>
      <bottom style="thin">
        <color rgb="00CBD3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9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center" wrapText="1"/>
    </xf>
    <xf numFmtId="0" fontId="4" fillId="4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0" fillId="2" borderId="0" pivotButton="0" quotePrefix="0" xfId="0"/>
    <xf numFmtId="165" fontId="11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164" fontId="5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9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center"/>
    </xf>
    <xf numFmtId="164" fontId="16" fillId="0" borderId="1" applyAlignment="1" pivotButton="0" quotePrefix="0" xfId="0">
      <alignment horizontal="right" vertical="center"/>
    </xf>
    <xf numFmtId="9" fontId="18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 wrapText="1"/>
    </xf>
    <xf numFmtId="0" fontId="19" fillId="0" borderId="0" applyAlignment="1" pivotButton="0" quotePrefix="0" xfId="0">
      <alignment horizontal="general" vertical="center"/>
    </xf>
    <xf numFmtId="0" fontId="20" fillId="0" borderId="0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46" customWidth="1" min="4" max="4"/>
    <col width="6" customWidth="1" min="5" max="5"/>
    <col width="9" customWidth="1" min="6" max="6"/>
    <col width="11" customWidth="1" min="7" max="7"/>
    <col width="12" customWidth="1" min="8" max="8"/>
    <col width="40" customWidth="1" min="9" max="9"/>
  </cols>
  <sheetData>
    <row r="1">
      <c r="A1" s="1" t="inlineStr">
        <is>
          <t>AMERICA'S RESTORATION CONTRACTOR  —  INTERNAL ESTIMATE WORKBOOK</t>
        </is>
      </c>
    </row>
    <row r="2">
      <c r="A2" s="2" t="inlineStr">
        <is>
          <t>3231 Appalachian Trl, Kingwood, TX 77345  ·  Master Bathroom  ·  Category: WTR (Water — no mold / no containment)  ·  Price List: TXHO8X_JUL26</t>
        </is>
      </c>
    </row>
    <row r="3">
      <c r="A3" s="3" t="inlineStr">
        <is>
          <t>Retail / cash — price-sensitive, 3 bids.  Option A = minimal patch.  Option B = proper (detach both vanities, full base R&amp;R, full repaint).  Rebuild is SUBBED — priced to cover sub + ARC margin.</t>
        </is>
      </c>
    </row>
    <row r="5">
      <c r="A5" s="4" t="inlineStr">
        <is>
          <t>JOB ASSUMPTIONS  (edit yellow cells — all quantities &amp; margins recompute)</t>
        </is>
      </c>
    </row>
    <row r="6">
      <c r="B6" s="5" t="inlineStr">
        <is>
          <t>Ceiling height (ft)</t>
        </is>
      </c>
      <c r="D6" s="6" t="n">
        <v>8</v>
      </c>
      <c r="E6" s="7" t="inlineStr">
        <is>
          <t>CONFIRM — assumed standard 8'</t>
        </is>
      </c>
    </row>
    <row r="7">
      <c r="B7" s="5" t="inlineStr">
        <is>
          <t>Water category (1/2/3)</t>
        </is>
      </c>
      <c r="D7" s="6" t="n">
        <v>2</v>
      </c>
      <c r="E7" s="7" t="inlineStr">
        <is>
          <t>aged stain w/ spotting → treat as Cat 2 (grey)</t>
        </is>
      </c>
    </row>
    <row r="8">
      <c r="B8" s="5" t="inlineStr">
        <is>
          <t>Drying days</t>
        </is>
      </c>
      <c r="D8" s="6" t="n">
        <v>2</v>
      </c>
      <c r="E8" s="7" t="inlineStr">
        <is>
          <t>small wall cavity; drop if meters read dry on arrival</t>
        </is>
      </c>
    </row>
    <row r="9">
      <c r="B9" s="5" t="inlineStr">
        <is>
          <t>Site days (Option A)</t>
        </is>
      </c>
      <c r="D9" s="6" t="n">
        <v>3</v>
      </c>
      <c r="E9" s="7" t="inlineStr">
        <is>
          <t>drying days + 1 (setup + monitor + takedown)</t>
        </is>
      </c>
    </row>
    <row r="10">
      <c r="B10" s="5" t="inlineStr">
        <is>
          <t>Extra site days (Option B)</t>
        </is>
      </c>
      <c r="D10" s="6" t="n">
        <v>1</v>
      </c>
      <c r="E10" s="7" t="inlineStr">
        <is>
          <t>vanity R&amp;R + full repaint adds ~1 day</t>
        </is>
      </c>
    </row>
    <row r="11">
      <c r="B11" s="5" t="inlineStr">
        <is>
          <t>Techs on site</t>
        </is>
      </c>
      <c r="D11" s="6" t="n">
        <v>1</v>
      </c>
      <c r="E11" s="7" t="inlineStr"/>
    </row>
    <row r="12">
      <c r="B12" s="5" t="inlineStr">
        <is>
          <t>Monitoring hrs / tech / day</t>
        </is>
      </c>
      <c r="D12" s="6" t="n">
        <v>1.75</v>
      </c>
      <c r="E12" s="7" t="inlineStr">
        <is>
          <t>ARC established basis — carries drive time to Kingwood</t>
        </is>
      </c>
    </row>
    <row r="13">
      <c r="B13" s="5" t="inlineStr">
        <is>
          <t>A: drywall cut width (ft)</t>
        </is>
      </c>
      <c r="D13" s="6" t="n">
        <v>2</v>
      </c>
      <c r="E13" s="7" t="inlineStr"/>
    </row>
    <row r="14">
      <c r="B14" s="5" t="inlineStr">
        <is>
          <t>A: drywall cut height (ft)</t>
        </is>
      </c>
      <c r="D14" s="6" t="n">
        <v>2</v>
      </c>
      <c r="E14" s="7" t="inlineStr"/>
    </row>
    <row r="15">
      <c r="B15" s="5" t="inlineStr">
        <is>
          <t>A: affected baseboard (LF)</t>
        </is>
      </c>
      <c r="D15" s="6" t="n">
        <v>3</v>
      </c>
      <c r="E15" s="7" t="inlineStr"/>
    </row>
    <row r="16">
      <c r="B16" s="5" t="inlineStr">
        <is>
          <t>A: antimicrobial surface (SF)</t>
        </is>
      </c>
      <c r="D16" s="6" t="n">
        <v>16</v>
      </c>
      <c r="E16" s="7" t="inlineStr">
        <is>
          <t>cut cavity + surround</t>
        </is>
      </c>
    </row>
    <row r="17">
      <c r="B17" s="5" t="inlineStr">
        <is>
          <t>B: vanities detach &amp; reset (LF)</t>
        </is>
      </c>
      <c r="D17" s="6" t="n">
        <v>6.5</v>
      </c>
      <c r="E17" s="7" t="inlineStr">
        <is>
          <t>his + hers combined face LF — CONFIRM</t>
        </is>
      </c>
    </row>
    <row r="18">
      <c r="B18" s="5" t="inlineStr">
        <is>
          <t>B: full baseboard D&amp;R (LF)</t>
        </is>
      </c>
      <c r="D18" s="6" t="n">
        <v>28</v>
      </c>
      <c r="E18" s="7" t="inlineStr">
        <is>
          <t>full affected-area perimeter — CONFIRM</t>
        </is>
      </c>
    </row>
    <row r="19">
      <c r="B19" s="5" t="inlineStr">
        <is>
          <t>B: full-area wall repaint (SF)</t>
        </is>
      </c>
      <c r="D19" s="6" t="n">
        <v>200</v>
      </c>
      <c r="E19" s="7" t="inlineStr">
        <is>
          <t>paintable grey walls, excl. tile accent — CONFIRM</t>
        </is>
      </c>
    </row>
    <row r="20">
      <c r="B20" s="5" t="inlineStr">
        <is>
          <t>Air movers</t>
        </is>
      </c>
      <c r="D20" s="6" t="n">
        <v>1</v>
      </c>
      <c r="E20" s="7" t="inlineStr"/>
    </row>
    <row r="21">
      <c r="B21" s="5" t="inlineStr">
        <is>
          <t>Dehumidifiers</t>
        </is>
      </c>
      <c r="D21" s="6" t="n">
        <v>1</v>
      </c>
      <c r="E21" s="7" t="inlineStr"/>
    </row>
    <row r="22">
      <c r="B22" s="5" t="inlineStr">
        <is>
          <t>Rebuild sub cost (% of rebuild billed)</t>
        </is>
      </c>
      <c r="D22" s="8" t="n">
        <v>0.68</v>
      </c>
      <c r="E22" s="7" t="inlineStr">
        <is>
          <t>what the sub charges ARC — edit to your sub's real number</t>
        </is>
      </c>
    </row>
    <row r="23">
      <c r="B23" s="5" t="inlineStr">
        <is>
          <t>Mitigation ARC out-of-pocket ($)</t>
        </is>
      </c>
      <c r="D23" s="9" t="n">
        <v>60</v>
      </c>
      <c r="E23" s="7" t="inlineStr">
        <is>
          <t>self-performed; materials only (equipment owned)</t>
        </is>
      </c>
    </row>
    <row r="24">
      <c r="B24" s="5" t="inlineStr">
        <is>
          <t>Material % of line total (tax basis)</t>
        </is>
      </c>
      <c r="D24" s="8" t="n">
        <v>0.4</v>
      </c>
      <c r="E24" s="7" t="inlineStr">
        <is>
          <t>placeholder — true up from Xactimate 'Mat Only'</t>
        </is>
      </c>
    </row>
    <row r="25">
      <c r="B25" s="5" t="inlineStr">
        <is>
          <t>Material sales tax rate</t>
        </is>
      </c>
      <c r="D25" s="10" t="n">
        <v>0.0825</v>
      </c>
      <c r="E25" s="7" t="inlineStr">
        <is>
          <t>Houston 8.25%, materials only</t>
        </is>
      </c>
    </row>
    <row r="27">
      <c r="A27" s="4" t="inlineStr">
        <is>
          <t>SECTION 1 — WATER MITIGATION &amp; DRY-OUT  (common to both options)</t>
        </is>
      </c>
    </row>
    <row r="28">
      <c r="A28" s="11" t="inlineStr">
        <is>
          <t>#</t>
        </is>
      </c>
      <c r="B28" s="11" t="inlineStr">
        <is>
          <t>Cat</t>
        </is>
      </c>
      <c r="C28" s="11" t="inlineStr">
        <is>
          <t>Sel</t>
        </is>
      </c>
      <c r="D28" s="11" t="inlineStr">
        <is>
          <t>Description</t>
        </is>
      </c>
      <c r="E28" s="11" t="inlineStr">
        <is>
          <t>Unit</t>
        </is>
      </c>
      <c r="F28" s="12" t="inlineStr">
        <is>
          <t>Qty</t>
        </is>
      </c>
      <c r="G28" s="12" t="inlineStr">
        <is>
          <t>Unit $</t>
        </is>
      </c>
      <c r="H28" s="12" t="inlineStr">
        <is>
          <t>Extension</t>
        </is>
      </c>
      <c r="I28" s="11" t="inlineStr">
        <is>
          <t>Note</t>
        </is>
      </c>
    </row>
    <row r="29">
      <c r="A29" s="13" t="n">
        <v>1</v>
      </c>
      <c r="B29" s="14" t="inlineStr">
        <is>
          <t>WTR</t>
        </is>
      </c>
      <c r="C29" s="14" t="inlineStr">
        <is>
          <t>DRYW</t>
        </is>
      </c>
      <c r="D29" s="15" t="inlineStr">
        <is>
          <t>Tear out wet drywall, cleanup, bag for disposal</t>
        </is>
      </c>
      <c r="E29" s="13" t="inlineStr">
        <is>
          <t>SF</t>
        </is>
      </c>
      <c r="F29" s="16">
        <f>($D$13*$D$14)</f>
        <v/>
      </c>
      <c r="G29" s="17" t="n">
        <v>1.16</v>
      </c>
      <c r="H29" s="18">
        <f>F29*G29</f>
        <v/>
      </c>
      <c r="I29" s="19" t="inlineStr">
        <is>
          <t>2'x2' affected cut</t>
        </is>
      </c>
    </row>
    <row r="30">
      <c r="A30" s="13" t="n">
        <v>2</v>
      </c>
      <c r="B30" s="14" t="inlineStr">
        <is>
          <t>WTR</t>
        </is>
      </c>
      <c r="C30" s="14" t="inlineStr">
        <is>
          <t>GRMB</t>
        </is>
      </c>
      <c r="D30" s="15" t="inlineStr">
        <is>
          <t>Apply plant-based anti-microbial agent to the surface area</t>
        </is>
      </c>
      <c r="E30" s="13" t="inlineStr">
        <is>
          <t>SF</t>
        </is>
      </c>
      <c r="F30" s="16">
        <f>D16</f>
        <v/>
      </c>
      <c r="G30" s="17" t="n">
        <v>0.38</v>
      </c>
      <c r="H30" s="18">
        <f>F30*G30</f>
        <v/>
      </c>
      <c r="I30" s="19" t="inlineStr">
        <is>
          <t>cavity + surround</t>
        </is>
      </c>
    </row>
    <row r="31">
      <c r="A31" s="13" t="n">
        <v>3</v>
      </c>
      <c r="B31" s="14" t="inlineStr">
        <is>
          <t>WTR</t>
        </is>
      </c>
      <c r="C31" s="14" t="inlineStr">
        <is>
          <t>DRY</t>
        </is>
      </c>
      <c r="D31" s="15" t="inlineStr">
        <is>
          <t>Air mover (per 24 hr period) - no monitoring</t>
        </is>
      </c>
      <c r="E31" s="13" t="inlineStr">
        <is>
          <t>EA</t>
        </is>
      </c>
      <c r="F31" s="16">
        <f>D20*D8</f>
        <v/>
      </c>
      <c r="G31" s="17" t="n">
        <v>26.77</v>
      </c>
      <c r="H31" s="18">
        <f>F31*G31</f>
        <v/>
      </c>
      <c r="I31" s="19" t="inlineStr">
        <is>
          <t>1 unit x drying days</t>
        </is>
      </c>
    </row>
    <row r="32">
      <c r="A32" s="13" t="n">
        <v>4</v>
      </c>
      <c r="B32" s="14" t="inlineStr">
        <is>
          <t>WTR</t>
        </is>
      </c>
      <c r="C32" s="14" t="inlineStr">
        <is>
          <t>DHM</t>
        </is>
      </c>
      <c r="D32" s="15" t="inlineStr">
        <is>
          <t>Dehumidifier (per 24 hr period) - up to 69 ppd</t>
        </is>
      </c>
      <c r="E32" s="13" t="inlineStr">
        <is>
          <t>EA</t>
        </is>
      </c>
      <c r="F32" s="16">
        <f>D21*D8</f>
        <v/>
      </c>
      <c r="G32" s="17" t="n">
        <v>60.24</v>
      </c>
      <c r="H32" s="18">
        <f>F32*G32</f>
        <v/>
      </c>
      <c r="I32" s="19" t="inlineStr">
        <is>
          <t>1 unit x drying days; drop if dry on arrival</t>
        </is>
      </c>
    </row>
    <row r="33">
      <c r="A33" s="13" t="n">
        <v>5</v>
      </c>
      <c r="B33" s="14" t="inlineStr">
        <is>
          <t>WTR</t>
        </is>
      </c>
      <c r="C33" s="14" t="inlineStr">
        <is>
          <t>EQ</t>
        </is>
      </c>
      <c r="D33" s="15" t="inlineStr">
        <is>
          <t>Equipment setup, take down, and monitoring (hourly)</t>
        </is>
      </c>
      <c r="E33" s="13" t="inlineStr">
        <is>
          <t>HR</t>
        </is>
      </c>
      <c r="F33" s="16">
        <f>($D$12*$D$11*$D$9)</f>
        <v/>
      </c>
      <c r="G33" s="17" t="n">
        <v>66.75</v>
      </c>
      <c r="H33" s="18">
        <f>F33*G33</f>
        <v/>
      </c>
      <c r="I33" s="19" t="inlineStr">
        <is>
          <t>1.75 x techs x site days (A). Carries drive time.</t>
        </is>
      </c>
    </row>
    <row r="34">
      <c r="A34" s="13" t="n">
        <v>6</v>
      </c>
      <c r="B34" s="14" t="inlineStr">
        <is>
          <t>CON</t>
        </is>
      </c>
      <c r="C34" s="14" t="inlineStr">
        <is>
          <t>LAB</t>
        </is>
      </c>
      <c r="D34" s="15" t="inlineStr">
        <is>
          <t>Content manipulation charge - per hour</t>
        </is>
      </c>
      <c r="E34" s="13" t="inlineStr">
        <is>
          <t>HR</t>
        </is>
      </c>
      <c r="F34" s="16">
        <f>1</f>
        <v/>
      </c>
      <c r="G34" s="17" t="n">
        <v>50.06</v>
      </c>
      <c r="H34" s="18">
        <f>F34*G34</f>
        <v/>
      </c>
      <c r="I34" s="19" t="inlineStr">
        <is>
          <t>move counter items / work around vanity</t>
        </is>
      </c>
    </row>
    <row r="35">
      <c r="A35" s="20" t="inlineStr">
        <is>
          <t>SECTION 2A — REBUILD · OPTION A (minimal patch)  ·  SUBBED</t>
        </is>
      </c>
    </row>
    <row r="36">
      <c r="A36" s="11" t="inlineStr">
        <is>
          <t>#</t>
        </is>
      </c>
      <c r="B36" s="11" t="inlineStr">
        <is>
          <t>Cat</t>
        </is>
      </c>
      <c r="C36" s="11" t="inlineStr">
        <is>
          <t>Sel</t>
        </is>
      </c>
      <c r="D36" s="11" t="inlineStr">
        <is>
          <t>Description</t>
        </is>
      </c>
      <c r="E36" s="11" t="inlineStr">
        <is>
          <t>Unit</t>
        </is>
      </c>
      <c r="F36" s="12" t="inlineStr">
        <is>
          <t>Qty</t>
        </is>
      </c>
      <c r="G36" s="12" t="inlineStr">
        <is>
          <t>Unit $</t>
        </is>
      </c>
      <c r="H36" s="12" t="inlineStr">
        <is>
          <t>Extension</t>
        </is>
      </c>
      <c r="I36" s="11" t="inlineStr">
        <is>
          <t>Note</t>
        </is>
      </c>
    </row>
    <row r="37">
      <c r="A37" s="13" t="n">
        <v>7</v>
      </c>
      <c r="B37" s="14" t="inlineStr">
        <is>
          <t>DRY</t>
        </is>
      </c>
      <c r="C37" s="14" t="inlineStr">
        <is>
          <t>MNRP</t>
        </is>
      </c>
      <c r="D37" s="15" t="inlineStr">
        <is>
          <t>Drywall repair - minimum charge - labor &amp; material</t>
        </is>
      </c>
      <c r="E37" s="13" t="inlineStr">
        <is>
          <t>EA</t>
        </is>
      </c>
      <c r="F37" s="16">
        <f>1</f>
        <v/>
      </c>
      <c r="G37" s="17" t="n">
        <v>611.16</v>
      </c>
      <c r="H37" s="18">
        <f>F37*G37</f>
        <v/>
      </c>
      <c r="I37" s="19" t="inlineStr">
        <is>
          <t>cut, hang, tape, float, texture 2x2 patch — real sub floor</t>
        </is>
      </c>
    </row>
    <row r="38">
      <c r="A38" s="13" t="n">
        <v>8</v>
      </c>
      <c r="B38" s="14" t="inlineStr">
        <is>
          <t>PNT</t>
        </is>
      </c>
      <c r="C38" s="14" t="inlineStr">
        <is>
          <t>MNRP</t>
        </is>
      </c>
      <c r="D38" s="15" t="inlineStr">
        <is>
          <t>Painting - minimum charge - labor &amp; material</t>
        </is>
      </c>
      <c r="E38" s="13" t="inlineStr">
        <is>
          <t>EA</t>
        </is>
      </c>
      <c r="F38" s="16">
        <f>1</f>
        <v/>
      </c>
      <c r="G38" s="17" t="n">
        <v>316.08</v>
      </c>
      <c r="H38" s="18">
        <f>F38*G38</f>
        <v/>
      </c>
      <c r="I38" s="19" t="inlineStr">
        <is>
          <t>prime + paint repaired wall to blend</t>
        </is>
      </c>
    </row>
    <row r="39">
      <c r="A39" s="13" t="n">
        <v>9</v>
      </c>
      <c r="B39" s="14" t="inlineStr">
        <is>
          <t>WTR</t>
        </is>
      </c>
      <c r="C39" s="14" t="inlineStr">
        <is>
          <t>BASERS</t>
        </is>
      </c>
      <c r="D39" s="15" t="inlineStr">
        <is>
          <t>Baseboard - detach &amp; reset</t>
        </is>
      </c>
      <c r="E39" s="13" t="inlineStr">
        <is>
          <t>LF</t>
        </is>
      </c>
      <c r="F39" s="16">
        <f>D15</f>
        <v/>
      </c>
      <c r="G39" s="17" t="n">
        <v>2.48</v>
      </c>
      <c r="H39" s="18">
        <f>F39*G39</f>
        <v/>
      </c>
      <c r="I39" s="19" t="inlineStr">
        <is>
          <t>reuse affected base</t>
        </is>
      </c>
    </row>
    <row r="40">
      <c r="A40" s="20" t="inlineStr">
        <is>
          <t>SECTION 2B — REBUILD · OPTION B (proper: detach vanities, full base R&amp;R, full repaint)  ·  SUBBED</t>
        </is>
      </c>
    </row>
    <row r="41">
      <c r="A41" s="11" t="inlineStr">
        <is>
          <t>#</t>
        </is>
      </c>
      <c r="B41" s="11" t="inlineStr">
        <is>
          <t>Cat</t>
        </is>
      </c>
      <c r="C41" s="11" t="inlineStr">
        <is>
          <t>Sel</t>
        </is>
      </c>
      <c r="D41" s="11" t="inlineStr">
        <is>
          <t>Description</t>
        </is>
      </c>
      <c r="E41" s="11" t="inlineStr">
        <is>
          <t>Unit</t>
        </is>
      </c>
      <c r="F41" s="12" t="inlineStr">
        <is>
          <t>Qty</t>
        </is>
      </c>
      <c r="G41" s="12" t="inlineStr">
        <is>
          <t>Unit $</t>
        </is>
      </c>
      <c r="H41" s="12" t="inlineStr">
        <is>
          <t>Extension</t>
        </is>
      </c>
      <c r="I41" s="11" t="inlineStr">
        <is>
          <t>Note</t>
        </is>
      </c>
    </row>
    <row r="42">
      <c r="A42" s="13" t="n">
        <v>10</v>
      </c>
      <c r="B42" s="14" t="inlineStr">
        <is>
          <t>DRY</t>
        </is>
      </c>
      <c r="C42" s="14" t="inlineStr">
        <is>
          <t>MNRP</t>
        </is>
      </c>
      <c r="D42" s="15" t="inlineStr">
        <is>
          <t>Drywall repair - minimum charge - labor &amp; material</t>
        </is>
      </c>
      <c r="E42" s="13" t="inlineStr">
        <is>
          <t>EA</t>
        </is>
      </c>
      <c r="F42" s="16">
        <f>1</f>
        <v/>
      </c>
      <c r="G42" s="17" t="n">
        <v>611.16</v>
      </c>
      <c r="H42" s="18">
        <f>F42*G42</f>
        <v/>
      </c>
      <c r="I42" s="19" t="inlineStr">
        <is>
          <t>same 2x2 repair, real sub floor</t>
        </is>
      </c>
    </row>
    <row r="43">
      <c r="A43" s="13" t="n">
        <v>11</v>
      </c>
      <c r="B43" s="14" t="inlineStr">
        <is>
          <t>CAB</t>
        </is>
      </c>
      <c r="C43" s="14" t="inlineStr">
        <is>
          <t>VANTRS</t>
        </is>
      </c>
      <c r="D43" s="15" t="inlineStr">
        <is>
          <t>Vanity with countertop - detach &amp; reset</t>
        </is>
      </c>
      <c r="E43" s="13" t="inlineStr">
        <is>
          <t>LF</t>
        </is>
      </c>
      <c r="F43" s="16">
        <f>D17</f>
        <v/>
      </c>
      <c r="G43" s="17" t="n">
        <v>111.58</v>
      </c>
      <c r="H43" s="18">
        <f>F43*G43</f>
        <v/>
      </c>
      <c r="I43" s="19" t="inlineStr">
        <is>
          <t>both vanities (his + hers), quartz tops</t>
        </is>
      </c>
    </row>
    <row r="44">
      <c r="A44" s="13" t="n">
        <v>12</v>
      </c>
      <c r="B44" s="14" t="inlineStr">
        <is>
          <t>WTR</t>
        </is>
      </c>
      <c r="C44" s="14" t="inlineStr">
        <is>
          <t>BASERS</t>
        </is>
      </c>
      <c r="D44" s="15" t="inlineStr">
        <is>
          <t>Baseboard - detach &amp; reset</t>
        </is>
      </c>
      <c r="E44" s="13" t="inlineStr">
        <is>
          <t>LF</t>
        </is>
      </c>
      <c r="F44" s="16">
        <f>D18</f>
        <v/>
      </c>
      <c r="G44" s="17" t="n">
        <v>2.48</v>
      </c>
      <c r="H44" s="18">
        <f>F44*G44</f>
        <v/>
      </c>
      <c r="I44" s="19" t="inlineStr">
        <is>
          <t>full area</t>
        </is>
      </c>
    </row>
    <row r="45">
      <c r="A45" s="13" t="n">
        <v>13</v>
      </c>
      <c r="B45" s="14" t="inlineStr">
        <is>
          <t>PNT</t>
        </is>
      </c>
      <c r="C45" s="14" t="inlineStr">
        <is>
          <t>SP2</t>
        </is>
      </c>
      <c r="D45" s="15" t="inlineStr">
        <is>
          <t>Seal/prime (1 coat) then paint (2 coats)</t>
        </is>
      </c>
      <c r="E45" s="13" t="inlineStr">
        <is>
          <t>SF</t>
        </is>
      </c>
      <c r="F45" s="16">
        <f>D19</f>
        <v/>
      </c>
      <c r="G45" s="17" t="n">
        <v>1.67</v>
      </c>
      <c r="H45" s="18">
        <f>F45*G45</f>
        <v/>
      </c>
      <c r="I45" s="19" t="inlineStr">
        <is>
          <t>full repaint of area — exceeds paint min, SF governs</t>
        </is>
      </c>
    </row>
    <row r="46">
      <c r="A46" s="13" t="n">
        <v>14</v>
      </c>
      <c r="B46" s="14" t="inlineStr">
        <is>
          <t>PNT</t>
        </is>
      </c>
      <c r="C46" s="14" t="inlineStr">
        <is>
          <t>B2</t>
        </is>
      </c>
      <c r="D46" s="15" t="inlineStr">
        <is>
          <t>Paint baseboard - two coats</t>
        </is>
      </c>
      <c r="E46" s="13" t="inlineStr">
        <is>
          <t>LF</t>
        </is>
      </c>
      <c r="F46" s="16">
        <f>D18</f>
        <v/>
      </c>
      <c r="G46" s="17" t="n">
        <v>1.83</v>
      </c>
      <c r="H46" s="18">
        <f>F46*G46</f>
        <v/>
      </c>
      <c r="I46" s="19" t="inlineStr">
        <is>
          <t>full area base</t>
        </is>
      </c>
    </row>
    <row r="47">
      <c r="A47" s="13" t="n">
        <v>15</v>
      </c>
      <c r="B47" s="14" t="inlineStr">
        <is>
          <t>CLN</t>
        </is>
      </c>
      <c r="C47" s="14" t="inlineStr">
        <is>
          <t>FCT</t>
        </is>
      </c>
      <c r="D47" s="15" t="inlineStr">
        <is>
          <t>Clean floor - tile</t>
        </is>
      </c>
      <c r="E47" s="13" t="inlineStr">
        <is>
          <t>SF</t>
        </is>
      </c>
      <c r="F47" s="16">
        <f>60</f>
        <v/>
      </c>
      <c r="G47" s="17" t="n">
        <v>0.78</v>
      </c>
      <c r="H47" s="18">
        <f>F47*G47</f>
        <v/>
      </c>
      <c r="I47" s="19" t="inlineStr">
        <is>
          <t>final clean, larger area</t>
        </is>
      </c>
    </row>
    <row r="48">
      <c r="A48" s="13" t="n">
        <v>16</v>
      </c>
      <c r="B48" s="14" t="inlineStr">
        <is>
          <t>WTR</t>
        </is>
      </c>
      <c r="C48" s="14" t="inlineStr">
        <is>
          <t>EQ</t>
        </is>
      </c>
      <c r="D48" s="15" t="inlineStr">
        <is>
          <t>Equipment setup, take down &amp; monitoring - added day</t>
        </is>
      </c>
      <c r="E48" s="13" t="inlineStr">
        <is>
          <t>HR</t>
        </is>
      </c>
      <c r="F48" s="16">
        <f>($D$12*$D$11*$D$10)</f>
        <v/>
      </c>
      <c r="G48" s="17" t="n">
        <v>66.75</v>
      </c>
      <c r="H48" s="18">
        <f>F48*G48</f>
        <v/>
      </c>
      <c r="I48" s="19" t="inlineStr">
        <is>
          <t>extra monitoring/labor day for Option B scope</t>
        </is>
      </c>
    </row>
    <row r="50">
      <c r="A50" s="4" t="inlineStr">
        <is>
          <t>OPTION A — TOTAL (Mitigation + Rebuild A)</t>
        </is>
      </c>
    </row>
    <row r="51">
      <c r="D51" s="21" t="inlineStr">
        <is>
          <t>Option A Subtotal</t>
        </is>
      </c>
      <c r="H51" s="22">
        <f>H29+H30+H31+H32+H33+H34+H37+H38+H39</f>
        <v/>
      </c>
    </row>
    <row r="52">
      <c r="D52" s="23" t="inlineStr">
        <is>
          <t>Est. material sales tax (materials only)</t>
        </is>
      </c>
      <c r="H52" s="24">
        <f>ROUND(H51*$D$24*$D$25,2)</f>
        <v/>
      </c>
    </row>
    <row r="53">
      <c r="D53" s="25" t="inlineStr">
        <is>
          <t>Option A TOTAL</t>
        </is>
      </c>
      <c r="E53" s="26" t="n"/>
      <c r="F53" s="26" t="n"/>
      <c r="G53" s="26" t="n"/>
      <c r="H53" s="27">
        <f>H51+H52</f>
        <v/>
      </c>
    </row>
    <row r="55">
      <c r="A55" s="4" t="inlineStr">
        <is>
          <t>OPTION B — TOTAL (Mitigation + Rebuild B)</t>
        </is>
      </c>
    </row>
    <row r="56">
      <c r="D56" s="21" t="inlineStr">
        <is>
          <t>Option B Subtotal</t>
        </is>
      </c>
      <c r="H56" s="22">
        <f>H29+H30+H31+H32+H33+H34+H42+H43+H44+H45+H46+H47+H48</f>
        <v/>
      </c>
    </row>
    <row r="57">
      <c r="D57" s="23" t="inlineStr">
        <is>
          <t>Est. material sales tax (materials only)</t>
        </is>
      </c>
      <c r="H57" s="24">
        <f>ROUND(H56*$D$24*$D$25,2)</f>
        <v/>
      </c>
    </row>
    <row r="58">
      <c r="D58" s="25" t="inlineStr">
        <is>
          <t>Option B TOTAL</t>
        </is>
      </c>
      <c r="E58" s="26" t="n"/>
      <c r="F58" s="26" t="n"/>
      <c r="G58" s="26" t="n"/>
      <c r="H58" s="27">
        <f>H56+H57</f>
        <v/>
      </c>
    </row>
    <row r="61">
      <c r="A61" s="4" t="inlineStr">
        <is>
          <t>MARGIN — WHAT ARC KEEPS AFTER PAYING THE REBUILD SUB</t>
        </is>
      </c>
    </row>
    <row r="62" ht="26" customHeight="1">
      <c r="B62" s="28" t="inlineStr">
        <is>
          <t>Mitigation is self-performed (ARC keeps it, less materials). Rebuild is subbed. ARC keep = (mitigation - materials) + (rebuild billed - sub cost).</t>
        </is>
      </c>
    </row>
    <row r="63">
      <c r="B63" s="29" t="inlineStr">
        <is>
          <t>OPTION A</t>
        </is>
      </c>
    </row>
    <row r="64">
      <c r="C64" s="30" t="inlineStr">
        <is>
          <t>Mitigation billed (self-perform)</t>
        </is>
      </c>
      <c r="H64" s="31">
        <f>(H29+H30+H31+H32+H33+H34)</f>
        <v/>
      </c>
    </row>
    <row r="65">
      <c r="C65" s="30" t="inlineStr">
        <is>
          <t xml:space="preserve">  less mitigation materials (OOP)</t>
        </is>
      </c>
      <c r="H65" s="32">
        <f>-$D$23</f>
        <v/>
      </c>
    </row>
    <row r="66">
      <c r="C66" s="30" t="inlineStr">
        <is>
          <t>Rebuild billed</t>
        </is>
      </c>
      <c r="H66" s="31">
        <f>(H37+H38+H39)</f>
        <v/>
      </c>
    </row>
    <row r="67">
      <c r="C67" s="30" t="inlineStr">
        <is>
          <t xml:space="preserve">  less rebuild sub cost</t>
        </is>
      </c>
      <c r="H67" s="32">
        <f>-(H37+H38+H39)*$D$22</f>
        <v/>
      </c>
    </row>
    <row r="68">
      <c r="C68" s="30" t="inlineStr">
        <is>
          <t xml:space="preserve">  = rebuild margin ARC keeps</t>
        </is>
      </c>
      <c r="H68" s="33">
        <f>(H37+H38+H39)-(H37+H38+H39)*$D$22</f>
        <v/>
      </c>
      <c r="I68" s="34">
        <f>1-$D$22</f>
        <v/>
      </c>
    </row>
    <row r="69">
      <c r="C69" s="35" t="inlineStr">
        <is>
          <t>ARC TOTAL CONTRIBUTION</t>
        </is>
      </c>
      <c r="H69" s="36">
        <f>(H64+H65)+((H37+H38+H39)-(H37+H38+H39)*$D$22)</f>
        <v/>
      </c>
      <c r="I69" s="37">
        <f>H69/H51</f>
        <v/>
      </c>
    </row>
    <row r="71">
      <c r="B71" s="29" t="inlineStr">
        <is>
          <t>OPTION B</t>
        </is>
      </c>
    </row>
    <row r="72">
      <c r="C72" s="30" t="inlineStr">
        <is>
          <t>Mitigation billed (self-perform)</t>
        </is>
      </c>
      <c r="H72" s="31">
        <f>(H29+H30+H31+H32+H33+H34)</f>
        <v/>
      </c>
    </row>
    <row r="73">
      <c r="C73" s="30" t="inlineStr">
        <is>
          <t xml:space="preserve">  less mitigation materials (OOP)</t>
        </is>
      </c>
      <c r="H73" s="32">
        <f>-$D$23</f>
        <v/>
      </c>
    </row>
    <row r="74">
      <c r="C74" s="30" t="inlineStr">
        <is>
          <t>Rebuild billed</t>
        </is>
      </c>
      <c r="H74" s="31">
        <f>(H42+H43+H44+H45+H46+H47+H48)</f>
        <v/>
      </c>
    </row>
    <row r="75">
      <c r="C75" s="30" t="inlineStr">
        <is>
          <t xml:space="preserve">  less rebuild sub cost</t>
        </is>
      </c>
      <c r="H75" s="32">
        <f>-(H42+H43+H44+H45+H46+H47+H48)*$D$22</f>
        <v/>
      </c>
    </row>
    <row r="76">
      <c r="C76" s="30" t="inlineStr">
        <is>
          <t xml:space="preserve">  = rebuild margin ARC keeps</t>
        </is>
      </c>
      <c r="H76" s="33">
        <f>(H42+H43+H44+H45+H46+H47+H48)-(H42+H43+H44+H45+H46+H47+H48)*$D$22</f>
        <v/>
      </c>
      <c r="I76" s="34">
        <f>1-$D$22</f>
        <v/>
      </c>
    </row>
    <row r="77">
      <c r="C77" s="35" t="inlineStr">
        <is>
          <t>ARC TOTAL CONTRIBUTION</t>
        </is>
      </c>
      <c r="H77" s="36">
        <f>(H72+H73)+((H42+H43+H44+H45+H46+H47+H48)-(H42+H43+H44+H45+H46+H47+H48)*$D$22)</f>
        <v/>
      </c>
      <c r="I77" s="37">
        <f>H77/H56</f>
        <v/>
      </c>
    </row>
    <row r="79">
      <c r="B79" s="29" t="inlineStr">
        <is>
          <t>Suggested sell (round):</t>
        </is>
      </c>
      <c r="E79" s="35" t="inlineStr">
        <is>
          <t>Option A ≈ $1,500–$1,600   ·   Option B ≈ $2,500–$2,650</t>
        </is>
      </c>
    </row>
    <row r="80" ht="26" customHeight="1">
      <c r="B80" s="38" t="inlineStr">
        <is>
          <t>Biggest margin lever (primer §6): self-perform the rebuild instead of subbing — turns the sub cost into ~material only and drops it straight to ARC. Make the next hire rebuild-capable.</t>
        </is>
      </c>
    </row>
    <row r="82">
      <c r="A82" s="4" t="inlineStr">
        <is>
          <t>NOTES / STRATEGY / DISCLOSURES</t>
        </is>
      </c>
    </row>
    <row r="83" ht="47" customHeight="1">
      <c r="B83" s="39" t="inlineStr">
        <is>
          <t>1.</t>
        </is>
      </c>
      <c r="C83" s="40" t="inlineStr">
        <is>
          <t>CATEGORY: Built as WTR (water) per direction — no mold remediation, no containment, no HMR rates. A small dark spot is visible at the base of the affected wall; if opening reveals mold &gt;25 contiguous SF, TX TDLR requires stop-work and conversion to a licensed mold path (separate scope).</t>
        </is>
      </c>
    </row>
    <row r="84" ht="58" customHeight="1">
      <c r="B84" s="39" t="inlineStr">
        <is>
          <t>2.</t>
        </is>
      </c>
      <c r="C84" s="40" t="inlineStr">
        <is>
          <t>REBUILD PRICING (corrected): rebuild is subbed, so it is priced on the real Xactimate minimum-charge floors (DRY MNRP $611 + PNT MNRP $316, both labor+material) — this is what a sub actually charges to show up for a small repair, NOT a maximized build. Covers the sub AND leaves ARC margin. Earlier draft priced bare per-SF production and underpriced the rebuild — that is the leak the sub has been eating.</t>
        </is>
      </c>
    </row>
    <row r="85" ht="36" customHeight="1">
      <c r="B85" s="39" t="inlineStr">
        <is>
          <t>3.</t>
        </is>
      </c>
      <c r="C85" s="40" t="inlineStr">
        <is>
          <t>REBUILD MARGIN: at a 68% sub-cost assumption the rebuild carries ~32% ARC margin — inside the 30-40% target. Edit 'Rebuild sub cost %' to your sub's real quote; self-performing pushes margin much higher.</t>
        </is>
      </c>
    </row>
    <row r="86" ht="36" customHeight="1">
      <c r="B86" s="39" t="inlineStr">
        <is>
          <t>4.</t>
        </is>
      </c>
      <c r="C86" s="40" t="inlineStr">
        <is>
          <t>MITIGATION-to-REBUILD RATIO: Option A runs ~1 : 1.6 (mit ~$585 / rebuild ~$935), in line with the 1 : 2 rule other contractors quoted. Option B is heavier on rebuild because of the two-vanity detach &amp; reset.</t>
        </is>
      </c>
    </row>
    <row r="87" ht="25" customHeight="1">
      <c r="B87" s="39" t="inlineStr">
        <is>
          <t>5.</t>
        </is>
      </c>
      <c r="C87" s="40" t="inlineStr">
        <is>
          <t>MONITORING (EQ): WTR rate $66.75/hr used (NOT the HMR $78.34). This line carries the drive time to Kingwood — do not cut it to soften the total.</t>
        </is>
      </c>
    </row>
    <row r="88" ht="36" customHeight="1">
      <c r="B88" s="39" t="inlineStr">
        <is>
          <t>6.</t>
        </is>
      </c>
      <c r="C88" s="40" t="inlineStr">
        <is>
          <t>MOISTURE SOURCE: The affected wall backs the his/hers vanity plumbing. Probable source is a vanity supply/drain or caulk failure, NOT in this scope. Disclose in writing that a plumber should verify/repair the source before close-up or it can recur. This disclosure protects ARC.</t>
        </is>
      </c>
    </row>
    <row r="89" ht="25" customHeight="1">
      <c r="B89" s="39" t="inlineStr">
        <is>
          <t>7.</t>
        </is>
      </c>
      <c r="C89" s="40" t="inlineStr">
        <is>
          <t>INSULATION: Not included — assumed interior partition. If wet insulation is found, add WTR INS ($0.86/SF) by change order.</t>
        </is>
      </c>
    </row>
    <row r="90" ht="36" customHeight="1">
      <c r="B90" s="39" t="inlineStr">
        <is>
          <t>8.</t>
        </is>
      </c>
      <c r="C90" s="40" t="inlineStr">
        <is>
          <t>BASEBOARD: Detach &amp; reset (reuse). If a piece is swollen, replace only that piece — FCW LAMB $7.62/LF is the only base-install line in the current export; verify base profile in Xactimate before quoting a full replace.</t>
        </is>
      </c>
    </row>
    <row r="91" ht="25" customHeight="1">
      <c r="B91" s="39" t="inlineStr">
        <is>
          <t>9.</t>
        </is>
      </c>
      <c r="C91" s="40" t="inlineStr">
        <is>
          <t>TAX: Materials-only 8.25% on a 40% material placeholder — an ESTIMATE. Texas labor for residential restoration is not taxable. True up from Xactimate 'Mat Only' before send.</t>
        </is>
      </c>
    </row>
    <row r="92" ht="36" customHeight="1">
      <c r="B92" s="39" t="inlineStr">
        <is>
          <t>10.</t>
        </is>
      </c>
      <c r="C92" s="40" t="inlineStr">
        <is>
          <t>CUSTOMER wants a cost breakdown: proposal shows price by scope section (mitigation / rebuild) per option — enough to satisfy the request without itemizing machines or day counts. No mold testing included (TDLR conflict-of-interest).</t>
        </is>
      </c>
    </row>
  </sheetData>
  <mergeCells count="79">
    <mergeCell ref="E12:I12"/>
    <mergeCell ref="B62:I62"/>
    <mergeCell ref="B22:C22"/>
    <mergeCell ref="A27:I27"/>
    <mergeCell ref="C72:F72"/>
    <mergeCell ref="E14:I14"/>
    <mergeCell ref="B12:C12"/>
    <mergeCell ref="B21:C21"/>
    <mergeCell ref="A2:I2"/>
    <mergeCell ref="C83:I83"/>
    <mergeCell ref="E13:I13"/>
    <mergeCell ref="B14:C14"/>
    <mergeCell ref="C92:I92"/>
    <mergeCell ref="A35:I35"/>
    <mergeCell ref="B13:C13"/>
    <mergeCell ref="E15:I15"/>
    <mergeCell ref="C64:F64"/>
    <mergeCell ref="C73:F73"/>
    <mergeCell ref="B24:C24"/>
    <mergeCell ref="E7:I7"/>
    <mergeCell ref="E16:I16"/>
    <mergeCell ref="E25:I25"/>
    <mergeCell ref="A61:I61"/>
    <mergeCell ref="E18:I18"/>
    <mergeCell ref="B16:C16"/>
    <mergeCell ref="B25:C25"/>
    <mergeCell ref="C91:I91"/>
    <mergeCell ref="C67:F67"/>
    <mergeCell ref="B18:C18"/>
    <mergeCell ref="B11:C11"/>
    <mergeCell ref="E20:I20"/>
    <mergeCell ref="C69:F69"/>
    <mergeCell ref="C86:I86"/>
    <mergeCell ref="E6:I6"/>
    <mergeCell ref="C85:I85"/>
    <mergeCell ref="B6:C6"/>
    <mergeCell ref="C84:I84"/>
    <mergeCell ref="B15:C15"/>
    <mergeCell ref="A1:I1"/>
    <mergeCell ref="B63:I63"/>
    <mergeCell ref="C76:F76"/>
    <mergeCell ref="B7:C7"/>
    <mergeCell ref="E24:I24"/>
    <mergeCell ref="A3:I3"/>
    <mergeCell ref="A55:I55"/>
    <mergeCell ref="E8:I8"/>
    <mergeCell ref="E17:I17"/>
    <mergeCell ref="C66:F66"/>
    <mergeCell ref="A5:I5"/>
    <mergeCell ref="C77:F77"/>
    <mergeCell ref="E10:I10"/>
    <mergeCell ref="E19:I19"/>
    <mergeCell ref="C68:F68"/>
    <mergeCell ref="B17:C17"/>
    <mergeCell ref="E9:I9"/>
    <mergeCell ref="C88:I88"/>
    <mergeCell ref="B19:C19"/>
    <mergeCell ref="A40:I40"/>
    <mergeCell ref="E11:I11"/>
    <mergeCell ref="C65:F65"/>
    <mergeCell ref="B9:C9"/>
    <mergeCell ref="A82:I82"/>
    <mergeCell ref="B20:C20"/>
    <mergeCell ref="E21:I21"/>
    <mergeCell ref="E23:I23"/>
    <mergeCell ref="A50:I50"/>
    <mergeCell ref="B71:I71"/>
    <mergeCell ref="E79:I79"/>
    <mergeCell ref="C87:I87"/>
    <mergeCell ref="B23:C23"/>
    <mergeCell ref="B8:C8"/>
    <mergeCell ref="C74:F74"/>
    <mergeCell ref="C89:I89"/>
    <mergeCell ref="B79:D79"/>
    <mergeCell ref="B10:C10"/>
    <mergeCell ref="C75:F75"/>
    <mergeCell ref="C90:I90"/>
    <mergeCell ref="B80:I80"/>
    <mergeCell ref="E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2026-08-06T22:49:43Z</dcterms:created>
  <dcterms:modified xsi:type="dcterms:W3CDTF">2026-08-06T22:49:43Z</dcterms:modified>
</cp:coreProperties>
</file>