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ternal Line Ite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&quot;$&quot;#,##0"/>
  </numFmts>
  <fonts count="16">
    <font>
      <name val="Calibri"/>
      <family val="2"/>
      <color theme="1"/>
      <sz val="11"/>
      <scheme val="minor"/>
    </font>
    <font>
      <name val="Helvetica"/>
      <b val="1"/>
      <color rgb="0016243F"/>
      <sz val="13"/>
    </font>
    <font>
      <name val="Helvetica"/>
      <color rgb="006B7684"/>
      <sz val="9"/>
    </font>
    <font>
      <name val="Helvetica"/>
      <i val="1"/>
      <color rgb="006B7684"/>
      <sz val="9"/>
    </font>
    <font>
      <name val="Helvetica"/>
      <b val="1"/>
      <color rgb="00FFFFFF"/>
      <sz val="10"/>
    </font>
    <font>
      <name val="Helvetica"/>
      <color rgb="001A1A1A"/>
      <sz val="9"/>
    </font>
    <font>
      <name val="Helvetica"/>
      <b val="1"/>
      <color rgb="001A1A1A"/>
      <sz val="10"/>
    </font>
    <font>
      <name val="Helvetica"/>
      <i val="1"/>
      <color rgb="006B7684"/>
      <sz val="8"/>
    </font>
    <font>
      <name val="Helvetica"/>
      <b val="1"/>
      <color rgb="00FFFFFF"/>
      <sz val="9"/>
    </font>
    <font>
      <name val="Helvetica"/>
      <b val="1"/>
      <color rgb="001A1A1A"/>
      <sz val="9"/>
    </font>
    <font>
      <name val="Helvetica"/>
      <b val="1"/>
      <color rgb="0016243F"/>
      <sz val="10"/>
    </font>
    <font>
      <name val="Helvetica"/>
      <b val="1"/>
      <color rgb="00FFFFFF"/>
      <sz val="11"/>
    </font>
    <font>
      <name val="Helvetica"/>
      <b val="1"/>
      <color rgb="001F7A1F"/>
      <sz val="9"/>
    </font>
    <font>
      <name val="Helvetica"/>
      <b val="1"/>
      <color rgb="00C41230"/>
      <sz val="10"/>
    </font>
    <font>
      <name val="Helvetica"/>
      <b val="1"/>
      <color rgb="006B7684"/>
      <sz val="8"/>
    </font>
    <font>
      <name val="Helvetica"/>
      <color rgb="00333333"/>
      <sz val="8"/>
    </font>
  </fonts>
  <fills count="5">
    <fill>
      <patternFill/>
    </fill>
    <fill>
      <patternFill patternType="gray125"/>
    </fill>
    <fill>
      <patternFill patternType="solid">
        <fgColor rgb="0016243F"/>
      </patternFill>
    </fill>
    <fill>
      <patternFill patternType="solid">
        <fgColor rgb="00FFF2CC"/>
      </patternFill>
    </fill>
    <fill>
      <patternFill patternType="solid">
        <fgColor rgb="00C41230"/>
      </patternFill>
    </fill>
  </fills>
  <borders count="2">
    <border>
      <left/>
      <right/>
      <top/>
      <bottom/>
      <diagonal/>
    </border>
    <border>
      <left style="thin">
        <color rgb="00CBD3DC"/>
      </left>
      <right style="thin">
        <color rgb="00CBD3DC"/>
      </right>
      <top style="thin">
        <color rgb="00CBD3DC"/>
      </top>
      <bottom style="thin">
        <color rgb="00CBD3D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9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left" vertical="center"/>
    </xf>
    <xf numFmtId="0" fontId="8" fillId="2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2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4" fillId="4" borderId="0" applyAlignment="1" pivotButton="0" quotePrefix="0" xfId="0">
      <alignment vertical="center"/>
    </xf>
    <xf numFmtId="0" fontId="10" fillId="0" borderId="0" applyAlignment="1" pivotButton="0" quotePrefix="0" xfId="0">
      <alignment horizontal="right" vertical="center"/>
    </xf>
    <xf numFmtId="164" fontId="10" fillId="0" borderId="1" applyAlignment="1" pivotButton="0" quotePrefix="0" xfId="0">
      <alignment horizontal="right" vertical="center"/>
    </xf>
    <xf numFmtId="0" fontId="2" fillId="0" borderId="0" applyAlignment="1" pivotButton="0" quotePrefix="0" xfId="0">
      <alignment horizontal="right" vertical="center"/>
    </xf>
    <xf numFmtId="164" fontId="2" fillId="0" borderId="1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0" fillId="2" borderId="0" pivotButton="0" quotePrefix="0" xfId="0"/>
    <xf numFmtId="164" fontId="11" fillId="2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9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9" customWidth="1" min="2" max="2"/>
    <col width="11" customWidth="1" min="3" max="3"/>
    <col width="46" customWidth="1" min="4" max="4"/>
    <col width="6" customWidth="1" min="5" max="5"/>
    <col width="9" customWidth="1" min="6" max="6"/>
    <col width="11" customWidth="1" min="7" max="7"/>
    <col width="12" customWidth="1" min="8" max="8"/>
    <col width="40" customWidth="1" min="9" max="9"/>
  </cols>
  <sheetData>
    <row r="1">
      <c r="A1" s="1" t="inlineStr">
        <is>
          <t>AMERICA'S RESTORATION CONTRACTOR  —  INTERNAL ESTIMATE WORKBOOK</t>
        </is>
      </c>
    </row>
    <row r="2">
      <c r="A2" s="2" t="inlineStr">
        <is>
          <t>3231 Appalachian Trl, Kingwood, TX 77345  ·  Master Bathroom  ·  Category: WTR (Water — no mold / no containment)  ·  Price List: TXHO8X_JUL26</t>
        </is>
      </c>
    </row>
    <row r="3">
      <c r="A3" s="3" t="inlineStr">
        <is>
          <t>Retail / cash customer — price-sensitive, comparing 3 bids.  Two options: A = minimal patch, B = proper (detach vanities, full base R&amp;R, full repaint).</t>
        </is>
      </c>
    </row>
    <row r="5">
      <c r="A5" s="4" t="inlineStr">
        <is>
          <t>JOB ASSUMPTIONS  (edit yellow cells — all quantities below recompute)</t>
        </is>
      </c>
    </row>
    <row r="6">
      <c r="B6" s="5" t="inlineStr">
        <is>
          <t>Ceiling height (ft)</t>
        </is>
      </c>
      <c r="D6" s="6" t="n">
        <v>8</v>
      </c>
      <c r="E6" s="7" t="inlineStr">
        <is>
          <t>CONFIRM — assumed standard 8'</t>
        </is>
      </c>
    </row>
    <row r="7">
      <c r="B7" s="5" t="inlineStr">
        <is>
          <t>Water category (1/2/3)</t>
        </is>
      </c>
      <c r="D7" s="6" t="n">
        <v>2</v>
      </c>
      <c r="E7" s="7" t="inlineStr">
        <is>
          <t>aged stain w/ spotting → treat as Cat 2 (grey)</t>
        </is>
      </c>
    </row>
    <row r="8">
      <c r="B8" s="5" t="inlineStr">
        <is>
          <t>Drying days</t>
        </is>
      </c>
      <c r="D8" s="6" t="n">
        <v>2</v>
      </c>
      <c r="E8" s="7" t="inlineStr">
        <is>
          <t>small wall cavity; drop if meters read dry on arrival</t>
        </is>
      </c>
    </row>
    <row r="9">
      <c r="B9" s="5" t="inlineStr">
        <is>
          <t>Site days (Option A)</t>
        </is>
      </c>
      <c r="D9" s="6" t="n">
        <v>3</v>
      </c>
      <c r="E9" s="7" t="inlineStr">
        <is>
          <t>drying days + 1 (setup + monitor + takedown)</t>
        </is>
      </c>
    </row>
    <row r="10">
      <c r="B10" s="5" t="inlineStr">
        <is>
          <t>Extra site days (Option B)</t>
        </is>
      </c>
      <c r="D10" s="6" t="n">
        <v>1</v>
      </c>
      <c r="E10" s="7" t="inlineStr">
        <is>
          <t>vanity R&amp;R + larger repaint adds ~1 day</t>
        </is>
      </c>
    </row>
    <row r="11">
      <c r="B11" s="5" t="inlineStr">
        <is>
          <t>Techs on site</t>
        </is>
      </c>
      <c r="D11" s="6" t="n">
        <v>1</v>
      </c>
      <c r="E11" s="7" t="inlineStr"/>
    </row>
    <row r="12">
      <c r="B12" s="5" t="inlineStr">
        <is>
          <t>Monitoring hrs / tech / day</t>
        </is>
      </c>
      <c r="D12" s="6" t="n">
        <v>1.75</v>
      </c>
      <c r="E12" s="7" t="inlineStr">
        <is>
          <t>ARC established basis — carries drive time to Kingwood</t>
        </is>
      </c>
    </row>
    <row r="13">
      <c r="B13" s="5" t="inlineStr">
        <is>
          <t>A: drywall cut width (ft)</t>
        </is>
      </c>
      <c r="D13" s="6" t="n">
        <v>2</v>
      </c>
      <c r="E13" s="7" t="inlineStr"/>
    </row>
    <row r="14">
      <c r="B14" s="5" t="inlineStr">
        <is>
          <t>A: drywall cut height (ft)</t>
        </is>
      </c>
      <c r="D14" s="6" t="n">
        <v>2</v>
      </c>
      <c r="E14" s="7" t="inlineStr"/>
    </row>
    <row r="15">
      <c r="B15" s="5" t="inlineStr">
        <is>
          <t>A: affected baseboard (LF)</t>
        </is>
      </c>
      <c r="D15" s="6" t="n">
        <v>3</v>
      </c>
      <c r="E15" s="7" t="inlineStr"/>
    </row>
    <row r="16">
      <c r="B16" s="5" t="inlineStr">
        <is>
          <t>A: antimicrobial surface (SF)</t>
        </is>
      </c>
      <c r="D16" s="6" t="n">
        <v>16</v>
      </c>
      <c r="E16" s="7" t="inlineStr">
        <is>
          <t>cut cavity + surround</t>
        </is>
      </c>
    </row>
    <row r="17">
      <c r="B17" s="5" t="inlineStr">
        <is>
          <t>A: wall face repaint (SF)</t>
        </is>
      </c>
      <c r="D17" s="6" t="n">
        <v>32</v>
      </c>
      <c r="E17" s="7" t="inlineStr">
        <is>
          <t>blend the repaired wall corner-to-corner</t>
        </is>
      </c>
    </row>
    <row r="18">
      <c r="B18" s="5" t="inlineStr">
        <is>
          <t>B: vanities detach &amp; reset (LF)</t>
        </is>
      </c>
      <c r="D18" s="6" t="n">
        <v>6.5</v>
      </c>
      <c r="E18" s="7" t="inlineStr">
        <is>
          <t>his + hers combined face LF — CONFIRM</t>
        </is>
      </c>
    </row>
    <row r="19">
      <c r="B19" s="5" t="inlineStr">
        <is>
          <t>B: full baseboard D&amp;R (LF)</t>
        </is>
      </c>
      <c r="D19" s="6" t="n">
        <v>28</v>
      </c>
      <c r="E19" s="7" t="inlineStr">
        <is>
          <t>full affected-area perimeter — CONFIRM</t>
        </is>
      </c>
    </row>
    <row r="20">
      <c r="B20" s="5" t="inlineStr">
        <is>
          <t>B: full-area wall repaint (SF)</t>
        </is>
      </c>
      <c r="D20" s="6" t="n">
        <v>200</v>
      </c>
      <c r="E20" s="7" t="inlineStr">
        <is>
          <t>paintable grey walls, excl. tile accent — CONFIRM</t>
        </is>
      </c>
    </row>
    <row r="21">
      <c r="B21" s="5" t="inlineStr">
        <is>
          <t>Air movers</t>
        </is>
      </c>
      <c r="D21" s="6" t="n">
        <v>1</v>
      </c>
      <c r="E21" s="7" t="inlineStr"/>
    </row>
    <row r="22">
      <c r="B22" s="5" t="inlineStr">
        <is>
          <t>Dehumidifiers</t>
        </is>
      </c>
      <c r="D22" s="6" t="n">
        <v>1</v>
      </c>
      <c r="E22" s="7" t="inlineStr"/>
    </row>
    <row r="23">
      <c r="B23" s="5" t="inlineStr">
        <is>
          <t>Material % of line total (tax basis)</t>
        </is>
      </c>
      <c r="D23" s="8" t="n">
        <v>0.4</v>
      </c>
      <c r="E23" s="7" t="inlineStr">
        <is>
          <t>placeholder — true up from Xactimate 'Mat Only'</t>
        </is>
      </c>
    </row>
    <row r="24">
      <c r="B24" s="5" t="inlineStr">
        <is>
          <t>Material sales tax rate</t>
        </is>
      </c>
      <c r="D24" s="9" t="n">
        <v>0.0825</v>
      </c>
      <c r="E24" s="7" t="inlineStr">
        <is>
          <t>Houston 8.25%, materials only</t>
        </is>
      </c>
    </row>
    <row r="26">
      <c r="A26" s="4" t="inlineStr">
        <is>
          <t>SECTION 1 — WATER MITIGATION &amp; DRY-OUT  (common to both options)</t>
        </is>
      </c>
    </row>
    <row r="27">
      <c r="A27" s="10" t="inlineStr">
        <is>
          <t>#</t>
        </is>
      </c>
      <c r="B27" s="10" t="inlineStr">
        <is>
          <t>Cat</t>
        </is>
      </c>
      <c r="C27" s="10" t="inlineStr">
        <is>
          <t>Sel</t>
        </is>
      </c>
      <c r="D27" s="10" t="inlineStr">
        <is>
          <t>Description</t>
        </is>
      </c>
      <c r="E27" s="10" t="inlineStr">
        <is>
          <t>Unit</t>
        </is>
      </c>
      <c r="F27" s="11" t="inlineStr">
        <is>
          <t>Qty</t>
        </is>
      </c>
      <c r="G27" s="11" t="inlineStr">
        <is>
          <t>Unit $</t>
        </is>
      </c>
      <c r="H27" s="11" t="inlineStr">
        <is>
          <t>Extension</t>
        </is>
      </c>
      <c r="I27" s="10" t="inlineStr">
        <is>
          <t>Note</t>
        </is>
      </c>
    </row>
    <row r="28">
      <c r="A28" s="12" t="n">
        <v>1</v>
      </c>
      <c r="B28" s="13" t="inlineStr">
        <is>
          <t>WTR</t>
        </is>
      </c>
      <c r="C28" s="13" t="inlineStr">
        <is>
          <t>DRYW</t>
        </is>
      </c>
      <c r="D28" s="14" t="inlineStr">
        <is>
          <t>Tear out wet drywall, cleanup, bag for disposal</t>
        </is>
      </c>
      <c r="E28" s="12" t="inlineStr">
        <is>
          <t>SF</t>
        </is>
      </c>
      <c r="F28" s="15">
        <f>($D$13*$D$14)</f>
        <v/>
      </c>
      <c r="G28" s="16" t="n">
        <v>1.16</v>
      </c>
      <c r="H28" s="17">
        <f>F28*G28</f>
        <v/>
      </c>
      <c r="I28" s="18" t="inlineStr">
        <is>
          <t>2'x2' affected cut</t>
        </is>
      </c>
    </row>
    <row r="29">
      <c r="A29" s="12" t="n">
        <v>2</v>
      </c>
      <c r="B29" s="13" t="inlineStr">
        <is>
          <t>WTR</t>
        </is>
      </c>
      <c r="C29" s="13" t="inlineStr">
        <is>
          <t>GRMB</t>
        </is>
      </c>
      <c r="D29" s="14" t="inlineStr">
        <is>
          <t>Apply plant-based anti-microbial agent to the surface area</t>
        </is>
      </c>
      <c r="E29" s="12" t="inlineStr">
        <is>
          <t>SF</t>
        </is>
      </c>
      <c r="F29" s="15">
        <f>D16</f>
        <v/>
      </c>
      <c r="G29" s="16" t="n">
        <v>0.38</v>
      </c>
      <c r="H29" s="17">
        <f>F29*G29</f>
        <v/>
      </c>
      <c r="I29" s="18" t="inlineStr">
        <is>
          <t>cavity + surround</t>
        </is>
      </c>
    </row>
    <row r="30">
      <c r="A30" s="12" t="n">
        <v>3</v>
      </c>
      <c r="B30" s="13" t="inlineStr">
        <is>
          <t>WTR</t>
        </is>
      </c>
      <c r="C30" s="13" t="inlineStr">
        <is>
          <t>DRY</t>
        </is>
      </c>
      <c r="D30" s="14" t="inlineStr">
        <is>
          <t>Air mover (per 24 hr period) - no monitoring</t>
        </is>
      </c>
      <c r="E30" s="12" t="inlineStr">
        <is>
          <t>EA</t>
        </is>
      </c>
      <c r="F30" s="15">
        <f>$D$21*$D$8</f>
        <v/>
      </c>
      <c r="G30" s="16" t="n">
        <v>26.77</v>
      </c>
      <c r="H30" s="17">
        <f>F30*G30</f>
        <v/>
      </c>
      <c r="I30" s="18" t="inlineStr">
        <is>
          <t>1 unit x drying days</t>
        </is>
      </c>
    </row>
    <row r="31">
      <c r="A31" s="12" t="n">
        <v>4</v>
      </c>
      <c r="B31" s="13" t="inlineStr">
        <is>
          <t>WTR</t>
        </is>
      </c>
      <c r="C31" s="13" t="inlineStr">
        <is>
          <t>DHM</t>
        </is>
      </c>
      <c r="D31" s="14" t="inlineStr">
        <is>
          <t>Dehumidifier (per 24 hr period) - up to 69 ppd</t>
        </is>
      </c>
      <c r="E31" s="12" t="inlineStr">
        <is>
          <t>EA</t>
        </is>
      </c>
      <c r="F31" s="15">
        <f>$D$22*$D$8</f>
        <v/>
      </c>
      <c r="G31" s="16" t="n">
        <v>60.24</v>
      </c>
      <c r="H31" s="17">
        <f>F31*G31</f>
        <v/>
      </c>
      <c r="I31" s="18" t="inlineStr">
        <is>
          <t>1 unit x drying days; drop if dry on arrival</t>
        </is>
      </c>
    </row>
    <row r="32">
      <c r="A32" s="12" t="n">
        <v>5</v>
      </c>
      <c r="B32" s="13" t="inlineStr">
        <is>
          <t>WTR</t>
        </is>
      </c>
      <c r="C32" s="13" t="inlineStr">
        <is>
          <t>EQ</t>
        </is>
      </c>
      <c r="D32" s="14" t="inlineStr">
        <is>
          <t>Equipment setup, take down, and monitoring (hourly)</t>
        </is>
      </c>
      <c r="E32" s="12" t="inlineStr">
        <is>
          <t>HR</t>
        </is>
      </c>
      <c r="F32" s="15">
        <f>($D$12*$D$11*$D$9)</f>
        <v/>
      </c>
      <c r="G32" s="16" t="n">
        <v>66.75</v>
      </c>
      <c r="H32" s="17">
        <f>F32*G32</f>
        <v/>
      </c>
      <c r="I32" s="18" t="inlineStr">
        <is>
          <t>1.75 x techs x site days (A). Carries drive time.</t>
        </is>
      </c>
    </row>
    <row r="33">
      <c r="A33" s="12" t="n">
        <v>6</v>
      </c>
      <c r="B33" s="13" t="inlineStr">
        <is>
          <t>CON</t>
        </is>
      </c>
      <c r="C33" s="13" t="inlineStr">
        <is>
          <t>LAB</t>
        </is>
      </c>
      <c r="D33" s="14" t="inlineStr">
        <is>
          <t>Content manipulation charge - per hour</t>
        </is>
      </c>
      <c r="E33" s="12" t="inlineStr">
        <is>
          <t>HR</t>
        </is>
      </c>
      <c r="F33" s="15">
        <f>1</f>
        <v/>
      </c>
      <c r="G33" s="16" t="n">
        <v>50.06</v>
      </c>
      <c r="H33" s="17">
        <f>F33*G33</f>
        <v/>
      </c>
      <c r="I33" s="18" t="inlineStr">
        <is>
          <t>move counter items / work around vanity</t>
        </is>
      </c>
    </row>
    <row r="34">
      <c r="A34" s="19" t="inlineStr">
        <is>
          <t>SECTION 2A — REBUILD · OPTION A (minimal patch)</t>
        </is>
      </c>
    </row>
    <row r="35">
      <c r="A35" s="10" t="inlineStr">
        <is>
          <t>#</t>
        </is>
      </c>
      <c r="B35" s="10" t="inlineStr">
        <is>
          <t>Cat</t>
        </is>
      </c>
      <c r="C35" s="10" t="inlineStr">
        <is>
          <t>Sel</t>
        </is>
      </c>
      <c r="D35" s="10" t="inlineStr">
        <is>
          <t>Description</t>
        </is>
      </c>
      <c r="E35" s="10" t="inlineStr">
        <is>
          <t>Unit</t>
        </is>
      </c>
      <c r="F35" s="11" t="inlineStr">
        <is>
          <t>Qty</t>
        </is>
      </c>
      <c r="G35" s="11" t="inlineStr">
        <is>
          <t>Unit $</t>
        </is>
      </c>
      <c r="H35" s="11" t="inlineStr">
        <is>
          <t>Extension</t>
        </is>
      </c>
      <c r="I35" s="10" t="inlineStr">
        <is>
          <t>Note</t>
        </is>
      </c>
    </row>
    <row r="36">
      <c r="A36" s="12" t="n">
        <v>7</v>
      </c>
      <c r="B36" s="13" t="inlineStr">
        <is>
          <t>DRY</t>
        </is>
      </c>
      <c r="C36" s="13" t="inlineStr">
        <is>
          <t>1/2-</t>
        </is>
      </c>
      <c r="D36" s="14" t="inlineStr">
        <is>
          <t>1/2" drywall - hung, taped, floated, ready for texture</t>
        </is>
      </c>
      <c r="E36" s="12" t="inlineStr">
        <is>
          <t>SF</t>
        </is>
      </c>
      <c r="F36" s="15">
        <f>($D$13*$D$14)</f>
        <v/>
      </c>
      <c r="G36" s="16" t="n">
        <v>3.59</v>
      </c>
      <c r="H36" s="17">
        <f>F36*G36</f>
        <v/>
      </c>
      <c r="I36" s="18" t="inlineStr">
        <is>
          <t>2x2 patch</t>
        </is>
      </c>
    </row>
    <row r="37">
      <c r="A37" s="12" t="n">
        <v>8</v>
      </c>
      <c r="B37" s="13" t="inlineStr">
        <is>
          <t>DRY</t>
        </is>
      </c>
      <c r="C37" s="13" t="inlineStr">
        <is>
          <t>TEX</t>
        </is>
      </c>
      <c r="D37" s="14" t="inlineStr">
        <is>
          <t>Texture drywall - light hand texture</t>
        </is>
      </c>
      <c r="E37" s="12" t="inlineStr">
        <is>
          <t>SF</t>
        </is>
      </c>
      <c r="F37" s="15">
        <f>($D$13*$D$14)</f>
        <v/>
      </c>
      <c r="G37" s="16" t="n">
        <v>1.41</v>
      </c>
      <c r="H37" s="17">
        <f>F37*G37</f>
        <v/>
      </c>
      <c r="I37" s="18" t="inlineStr">
        <is>
          <t>match wall texture</t>
        </is>
      </c>
    </row>
    <row r="38">
      <c r="A38" s="12" t="n">
        <v>9</v>
      </c>
      <c r="B38" s="13" t="inlineStr">
        <is>
          <t>DRY</t>
        </is>
      </c>
      <c r="C38" s="13" t="inlineStr">
        <is>
          <t>LAB</t>
        </is>
      </c>
      <c r="D38" s="14" t="inlineStr">
        <is>
          <t>Drywall installer/finisher - per hour</t>
        </is>
      </c>
      <c r="E38" s="12" t="inlineStr">
        <is>
          <t>HR</t>
        </is>
      </c>
      <c r="F38" s="15">
        <f>1.5</f>
        <v/>
      </c>
      <c r="G38" s="16" t="n">
        <v>131.5</v>
      </c>
      <c r="H38" s="17">
        <f>F38*G38</f>
        <v/>
      </c>
      <c r="I38" s="18" t="inlineStr">
        <is>
          <t>patch finish over multiple trips — in lieu of $592 drywall minimum</t>
        </is>
      </c>
    </row>
    <row r="39">
      <c r="A39" s="12" t="n">
        <v>10</v>
      </c>
      <c r="B39" s="13" t="inlineStr">
        <is>
          <t>WTR</t>
        </is>
      </c>
      <c r="C39" s="13" t="inlineStr">
        <is>
          <t>BASERS</t>
        </is>
      </c>
      <c r="D39" s="14" t="inlineStr">
        <is>
          <t>Baseboard - detach &amp; reset</t>
        </is>
      </c>
      <c r="E39" s="12" t="inlineStr">
        <is>
          <t>LF</t>
        </is>
      </c>
      <c r="F39" s="15">
        <f>D15</f>
        <v/>
      </c>
      <c r="G39" s="16" t="n">
        <v>2.48</v>
      </c>
      <c r="H39" s="17">
        <f>F39*G39</f>
        <v/>
      </c>
      <c r="I39" s="18" t="inlineStr">
        <is>
          <t>reuse affected base</t>
        </is>
      </c>
    </row>
    <row r="40">
      <c r="A40" s="12" t="n">
        <v>11</v>
      </c>
      <c r="B40" s="13" t="inlineStr">
        <is>
          <t>PNT</t>
        </is>
      </c>
      <c r="C40" s="13" t="inlineStr">
        <is>
          <t>SP</t>
        </is>
      </c>
      <c r="D40" s="14" t="inlineStr">
        <is>
          <t>Seal/prime (1 coat) then paint (1 coat)</t>
        </is>
      </c>
      <c r="E40" s="12" t="inlineStr">
        <is>
          <t>SF</t>
        </is>
      </c>
      <c r="F40" s="15">
        <f>D17</f>
        <v/>
      </c>
      <c r="G40" s="16" t="n">
        <v>1.21</v>
      </c>
      <c r="H40" s="17">
        <f>F40*G40</f>
        <v/>
      </c>
      <c r="I40" s="18" t="inlineStr">
        <is>
          <t>blend repaired wall face</t>
        </is>
      </c>
    </row>
    <row r="41">
      <c r="A41" s="12" t="n">
        <v>12</v>
      </c>
      <c r="B41" s="13" t="inlineStr">
        <is>
          <t>PNT</t>
        </is>
      </c>
      <c r="C41" s="13" t="inlineStr">
        <is>
          <t>B</t>
        </is>
      </c>
      <c r="D41" s="14" t="inlineStr">
        <is>
          <t>Paint baseboard - one coat</t>
        </is>
      </c>
      <c r="E41" s="12" t="inlineStr">
        <is>
          <t>LF</t>
        </is>
      </c>
      <c r="F41" s="15">
        <f>D15</f>
        <v/>
      </c>
      <c r="G41" s="16" t="n">
        <v>1.21</v>
      </c>
      <c r="H41" s="17">
        <f>F41*G41</f>
        <v/>
      </c>
      <c r="I41" s="18" t="inlineStr"/>
    </row>
    <row r="42">
      <c r="A42" s="12" t="n">
        <v>13</v>
      </c>
      <c r="B42" s="13" t="inlineStr">
        <is>
          <t>CLN</t>
        </is>
      </c>
      <c r="C42" s="13" t="inlineStr">
        <is>
          <t>FCT</t>
        </is>
      </c>
      <c r="D42" s="14" t="inlineStr">
        <is>
          <t>Clean floor - tile</t>
        </is>
      </c>
      <c r="E42" s="12" t="inlineStr">
        <is>
          <t>SF</t>
        </is>
      </c>
      <c r="F42" s="15">
        <f>20</f>
        <v/>
      </c>
      <c r="G42" s="16" t="n">
        <v>0.78</v>
      </c>
      <c r="H42" s="17">
        <f>F42*G42</f>
        <v/>
      </c>
      <c r="I42" s="18" t="inlineStr">
        <is>
          <t>final clean of work area</t>
        </is>
      </c>
    </row>
    <row r="43">
      <c r="A43" s="19" t="inlineStr">
        <is>
          <t>SECTION 2B — REBUILD · OPTION B (proper: detach vanities, full base R&amp;R, full repaint)</t>
        </is>
      </c>
    </row>
    <row r="44">
      <c r="A44" s="10" t="inlineStr">
        <is>
          <t>#</t>
        </is>
      </c>
      <c r="B44" s="10" t="inlineStr">
        <is>
          <t>Cat</t>
        </is>
      </c>
      <c r="C44" s="10" t="inlineStr">
        <is>
          <t>Sel</t>
        </is>
      </c>
      <c r="D44" s="10" t="inlineStr">
        <is>
          <t>Description</t>
        </is>
      </c>
      <c r="E44" s="10" t="inlineStr">
        <is>
          <t>Unit</t>
        </is>
      </c>
      <c r="F44" s="11" t="inlineStr">
        <is>
          <t>Qty</t>
        </is>
      </c>
      <c r="G44" s="11" t="inlineStr">
        <is>
          <t>Unit $</t>
        </is>
      </c>
      <c r="H44" s="11" t="inlineStr">
        <is>
          <t>Extension</t>
        </is>
      </c>
      <c r="I44" s="10" t="inlineStr">
        <is>
          <t>Note</t>
        </is>
      </c>
    </row>
    <row r="45">
      <c r="A45" s="12" t="n">
        <v>14</v>
      </c>
      <c r="B45" s="13" t="inlineStr">
        <is>
          <t>DRY</t>
        </is>
      </c>
      <c r="C45" s="13" t="inlineStr">
        <is>
          <t>1/2-</t>
        </is>
      </c>
      <c r="D45" s="14" t="inlineStr">
        <is>
          <t>1/2" drywall - hung, taped, floated, ready for texture</t>
        </is>
      </c>
      <c r="E45" s="12" t="inlineStr">
        <is>
          <t>SF</t>
        </is>
      </c>
      <c r="F45" s="15">
        <f>($D$13*$D$14)</f>
        <v/>
      </c>
      <c r="G45" s="16" t="n">
        <v>3.59</v>
      </c>
      <c r="H45" s="17">
        <f>F45*G45</f>
        <v/>
      </c>
      <c r="I45" s="18" t="inlineStr">
        <is>
          <t>same 2x2 repair</t>
        </is>
      </c>
    </row>
    <row r="46">
      <c r="A46" s="12" t="n">
        <v>15</v>
      </c>
      <c r="B46" s="13" t="inlineStr">
        <is>
          <t>DRY</t>
        </is>
      </c>
      <c r="C46" s="13" t="inlineStr">
        <is>
          <t>TEX</t>
        </is>
      </c>
      <c r="D46" s="14" t="inlineStr">
        <is>
          <t>Texture drywall - light hand texture</t>
        </is>
      </c>
      <c r="E46" s="12" t="inlineStr">
        <is>
          <t>SF</t>
        </is>
      </c>
      <c r="F46" s="15">
        <f>($D$13*$D$14)</f>
        <v/>
      </c>
      <c r="G46" s="16" t="n">
        <v>1.41</v>
      </c>
      <c r="H46" s="17">
        <f>F46*G46</f>
        <v/>
      </c>
      <c r="I46" s="18" t="inlineStr"/>
    </row>
    <row r="47">
      <c r="A47" s="12" t="n">
        <v>16</v>
      </c>
      <c r="B47" s="13" t="inlineStr">
        <is>
          <t>DRY</t>
        </is>
      </c>
      <c r="C47" s="13" t="inlineStr">
        <is>
          <t>LAB</t>
        </is>
      </c>
      <c r="D47" s="14" t="inlineStr">
        <is>
          <t>Drywall installer/finisher - per hour</t>
        </is>
      </c>
      <c r="E47" s="12" t="inlineStr">
        <is>
          <t>HR</t>
        </is>
      </c>
      <c r="F47" s="15">
        <f>1.5</f>
        <v/>
      </c>
      <c r="G47" s="16" t="n">
        <v>131.5</v>
      </c>
      <c r="H47" s="17">
        <f>F47*G47</f>
        <v/>
      </c>
      <c r="I47" s="18" t="inlineStr">
        <is>
          <t>in lieu of drywall minimum</t>
        </is>
      </c>
    </row>
    <row r="48">
      <c r="A48" s="12" t="n">
        <v>17</v>
      </c>
      <c r="B48" s="13" t="inlineStr">
        <is>
          <t>CAB</t>
        </is>
      </c>
      <c r="C48" s="13" t="inlineStr">
        <is>
          <t>VANTRS</t>
        </is>
      </c>
      <c r="D48" s="14" t="inlineStr">
        <is>
          <t>Vanity with countertop - detach &amp; reset</t>
        </is>
      </c>
      <c r="E48" s="12" t="inlineStr">
        <is>
          <t>LF</t>
        </is>
      </c>
      <c r="F48" s="15">
        <f>D18</f>
        <v/>
      </c>
      <c r="G48" s="16" t="n">
        <v>111.58</v>
      </c>
      <c r="H48" s="17">
        <f>F48*G48</f>
        <v/>
      </c>
      <c r="I48" s="18" t="inlineStr">
        <is>
          <t>both vanities (his + hers), quartz tops</t>
        </is>
      </c>
    </row>
    <row r="49">
      <c r="A49" s="12" t="n">
        <v>18</v>
      </c>
      <c r="B49" s="13" t="inlineStr">
        <is>
          <t>WTR</t>
        </is>
      </c>
      <c r="C49" s="13" t="inlineStr">
        <is>
          <t>BASERS</t>
        </is>
      </c>
      <c r="D49" s="14" t="inlineStr">
        <is>
          <t>Baseboard - detach &amp; reset</t>
        </is>
      </c>
      <c r="E49" s="12" t="inlineStr">
        <is>
          <t>LF</t>
        </is>
      </c>
      <c r="F49" s="15">
        <f>D19</f>
        <v/>
      </c>
      <c r="G49" s="16" t="n">
        <v>2.48</v>
      </c>
      <c r="H49" s="17">
        <f>F49*G49</f>
        <v/>
      </c>
      <c r="I49" s="18" t="inlineStr">
        <is>
          <t>full area</t>
        </is>
      </c>
    </row>
    <row r="50">
      <c r="A50" s="12" t="n">
        <v>19</v>
      </c>
      <c r="B50" s="13" t="inlineStr">
        <is>
          <t>PNT</t>
        </is>
      </c>
      <c r="C50" s="13" t="inlineStr">
        <is>
          <t>SP2</t>
        </is>
      </c>
      <c r="D50" s="14" t="inlineStr">
        <is>
          <t>Seal/prime (1 coat) then paint (2 coats)</t>
        </is>
      </c>
      <c r="E50" s="12" t="inlineStr">
        <is>
          <t>SF</t>
        </is>
      </c>
      <c r="F50" s="15">
        <f>D20</f>
        <v/>
      </c>
      <c r="G50" s="16" t="n">
        <v>1.67</v>
      </c>
      <c r="H50" s="17">
        <f>F50*G50</f>
        <v/>
      </c>
      <c r="I50" s="18" t="inlineStr">
        <is>
          <t>full repaint of area (not a patch)</t>
        </is>
      </c>
    </row>
    <row r="51">
      <c r="A51" s="12" t="n">
        <v>20</v>
      </c>
      <c r="B51" s="13" t="inlineStr">
        <is>
          <t>PNT</t>
        </is>
      </c>
      <c r="C51" s="13" t="inlineStr">
        <is>
          <t>B2</t>
        </is>
      </c>
      <c r="D51" s="14" t="inlineStr">
        <is>
          <t>Paint baseboard - two coats</t>
        </is>
      </c>
      <c r="E51" s="12" t="inlineStr">
        <is>
          <t>LF</t>
        </is>
      </c>
      <c r="F51" s="15">
        <f>D19</f>
        <v/>
      </c>
      <c r="G51" s="16" t="n">
        <v>1.83</v>
      </c>
      <c r="H51" s="17">
        <f>F51*G51</f>
        <v/>
      </c>
      <c r="I51" s="18" t="inlineStr">
        <is>
          <t>full area base</t>
        </is>
      </c>
    </row>
    <row r="52">
      <c r="A52" s="12" t="n">
        <v>21</v>
      </c>
      <c r="B52" s="13" t="inlineStr">
        <is>
          <t>CLN</t>
        </is>
      </c>
      <c r="C52" s="13" t="inlineStr">
        <is>
          <t>FCT</t>
        </is>
      </c>
      <c r="D52" s="14" t="inlineStr">
        <is>
          <t>Clean floor - tile</t>
        </is>
      </c>
      <c r="E52" s="12" t="inlineStr">
        <is>
          <t>SF</t>
        </is>
      </c>
      <c r="F52" s="15">
        <f>60</f>
        <v/>
      </c>
      <c r="G52" s="16" t="n">
        <v>0.78</v>
      </c>
      <c r="H52" s="17">
        <f>F52*G52</f>
        <v/>
      </c>
      <c r="I52" s="18" t="inlineStr">
        <is>
          <t>final clean, larger area</t>
        </is>
      </c>
    </row>
    <row r="53">
      <c r="A53" s="12" t="n">
        <v>22</v>
      </c>
      <c r="B53" s="13" t="inlineStr">
        <is>
          <t>WTR</t>
        </is>
      </c>
      <c r="C53" s="13" t="inlineStr">
        <is>
          <t>EQ</t>
        </is>
      </c>
      <c r="D53" s="14" t="inlineStr">
        <is>
          <t>Equipment setup, take down, and monitoring - added day</t>
        </is>
      </c>
      <c r="E53" s="12" t="inlineStr">
        <is>
          <t>HR</t>
        </is>
      </c>
      <c r="F53" s="15">
        <f>($D$12*$D$11*$D$10)</f>
        <v/>
      </c>
      <c r="G53" s="16" t="n">
        <v>66.75</v>
      </c>
      <c r="H53" s="17">
        <f>F53*G53</f>
        <v/>
      </c>
      <c r="I53" s="18" t="inlineStr">
        <is>
          <t>extra monitoring/labor day for Option B scope</t>
        </is>
      </c>
    </row>
    <row r="55">
      <c r="A55" s="4" t="inlineStr">
        <is>
          <t>OPTION A — TOTAL (Mitigation + Rebuild A)</t>
        </is>
      </c>
    </row>
    <row r="56">
      <c r="D56" s="20" t="inlineStr">
        <is>
          <t>Option A Subtotal</t>
        </is>
      </c>
      <c r="H56" s="21">
        <f>H28+H29+H30+H31+H32+H33+H36+H37+H38+H39+H40+H41+H42</f>
        <v/>
      </c>
    </row>
    <row r="57">
      <c r="D57" s="22" t="inlineStr">
        <is>
          <t>Est. material sales tax (materials only)</t>
        </is>
      </c>
      <c r="H57" s="23">
        <f>ROUND(H56*$D$23*$D$24,2)</f>
        <v/>
      </c>
    </row>
    <row r="58">
      <c r="D58" s="24" t="inlineStr">
        <is>
          <t>Option A TOTAL</t>
        </is>
      </c>
      <c r="E58" s="25" t="n"/>
      <c r="F58" s="25" t="n"/>
      <c r="G58" s="25" t="n"/>
      <c r="H58" s="26">
        <f>H56+H57</f>
        <v/>
      </c>
    </row>
    <row r="60">
      <c r="A60" s="4" t="inlineStr">
        <is>
          <t>OPTION B — TOTAL (Mitigation + Rebuild B)</t>
        </is>
      </c>
    </row>
    <row r="61">
      <c r="D61" s="20" t="inlineStr">
        <is>
          <t>Option B Subtotal</t>
        </is>
      </c>
      <c r="H61" s="21">
        <f>H28+H29+H30+H31+H32+H33+H45+H46+H47+H48+H49+H50+H51+H52+H53</f>
        <v/>
      </c>
    </row>
    <row r="62">
      <c r="D62" s="22" t="inlineStr">
        <is>
          <t>Est. material sales tax (materials only)</t>
        </is>
      </c>
      <c r="H62" s="23">
        <f>ROUND(H61*$D$23*$D$24,2)</f>
        <v/>
      </c>
    </row>
    <row r="63">
      <c r="D63" s="24" t="inlineStr">
        <is>
          <t>Option B TOTAL</t>
        </is>
      </c>
      <c r="E63" s="25" t="n"/>
      <c r="F63" s="25" t="n"/>
      <c r="G63" s="25" t="n"/>
      <c r="H63" s="26">
        <f>H61+H62</f>
        <v/>
      </c>
    </row>
    <row r="66">
      <c r="A66" s="4" t="inlineStr">
        <is>
          <t>MARGIN / PRICING ANALYSIS  (contribution margin — tech labor is a fixed weekly cost, not incremental)</t>
        </is>
      </c>
    </row>
    <row r="67">
      <c r="B67" s="3" t="inlineStr">
        <is>
          <t>Out-of-pocket cost = materials + dump + rental (NOT tech labor). This is the true floor.</t>
        </is>
      </c>
    </row>
    <row r="68">
      <c r="B68" s="27" t="inlineStr">
        <is>
          <t>OPTION A</t>
        </is>
      </c>
      <c r="D68" s="28" t="inlineStr">
        <is>
          <t>Book total:</t>
        </is>
      </c>
      <c r="E68" s="29">
        <f>H58</f>
        <v/>
      </c>
      <c r="F68" s="28" t="inlineStr">
        <is>
          <t>OOP floor:</t>
        </is>
      </c>
      <c r="G68" s="30" t="n">
        <v>70</v>
      </c>
      <c r="H68" s="28" t="inlineStr">
        <is>
          <t>Contrib. margin:</t>
        </is>
      </c>
      <c r="I68" s="31">
        <f>(H58-G68)/H58</f>
        <v/>
      </c>
    </row>
    <row r="69">
      <c r="B69" s="27" t="inlineStr">
        <is>
          <t>OPTION B</t>
        </is>
      </c>
      <c r="D69" s="28" t="inlineStr">
        <is>
          <t>Book total:</t>
        </is>
      </c>
      <c r="E69" s="29">
        <f>H63</f>
        <v/>
      </c>
      <c r="F69" s="28" t="inlineStr">
        <is>
          <t>OOP floor:</t>
        </is>
      </c>
      <c r="G69" s="30" t="n">
        <v>150</v>
      </c>
      <c r="H69" s="28" t="inlineStr">
        <is>
          <t>Contrib. margin:</t>
        </is>
      </c>
      <c r="I69" s="31">
        <f>(H63-G69)/H63</f>
        <v/>
      </c>
    </row>
    <row r="71">
      <c r="B71" s="32" t="inlineStr">
        <is>
          <t>Suggested sell (round numbers):</t>
        </is>
      </c>
      <c r="E71" s="33" t="inlineStr">
        <is>
          <t>Option A ≈ $850–$950   ·   Option B ≈ $2,100–$2,300</t>
        </is>
      </c>
    </row>
    <row r="72" ht="42" customHeight="1">
      <c r="B72" s="34" t="inlineStr">
        <is>
          <t>Room to move: both options sit far above the OOP floor, so there is large room to match a competitor's number and still make strong margin. Levers to drop price: cut dehu / a drying day if it meters dry, trim monitoring hours, Option B detach only the affected-side vanity.</t>
        </is>
      </c>
    </row>
    <row r="74">
      <c r="A74" s="4" t="inlineStr">
        <is>
          <t>NOTES / STRATEGY / DISCLOSURES</t>
        </is>
      </c>
    </row>
    <row r="75" ht="47" customHeight="1">
      <c r="B75" s="35" t="inlineStr">
        <is>
          <t>1.</t>
        </is>
      </c>
      <c r="C75" s="36" t="inlineStr">
        <is>
          <t>CATEGORY: Built as WTR (water) per direction — no mold remediation, no containment, no HMR rates. A small dark spot is visible at the base of the affected wall; if opening reveals mold &gt;25 contiguous SF, TX TDLR requires stop-work and conversion to a licensed mold path (separate scope).</t>
        </is>
      </c>
    </row>
    <row r="76" ht="58" customHeight="1">
      <c r="B76" s="35" t="inlineStr">
        <is>
          <t>2.</t>
        </is>
      </c>
      <c r="C76" s="36" t="inlineStr">
        <is>
          <t>LABOR MINIMUMS: Xactimate would apply full trade minimums on a job this small (drywall ~$592, painting ~$316, insulation ~$202, finish carpentry ~$264 = ~$1,374 of minimums alone). Those are intentionally NOT stacked here — the actual production + a modest finish-labor line + the monitoring line are priced instead. This is what keeps the retail number competitive. If billing insurance, switch to the trade-minimum build.</t>
        </is>
      </c>
    </row>
    <row r="77" ht="25" customHeight="1">
      <c r="B77" s="35" t="inlineStr">
        <is>
          <t>3.</t>
        </is>
      </c>
      <c r="C77" s="36" t="inlineStr">
        <is>
          <t>MONITORING (EQ): WTR rate $66.75/hr used (NOT the HMR $78.34). This line carries the drive time to Kingwood — do not cut it to soften the total.</t>
        </is>
      </c>
    </row>
    <row r="78" ht="47" customHeight="1">
      <c r="B78" s="35" t="inlineStr">
        <is>
          <t>4.</t>
        </is>
      </c>
      <c r="C78" s="36" t="inlineStr">
        <is>
          <t>MOISTURE SOURCE: The affected wall backs the vanity plumbing wall (his/hers vanities adjacent). Probable source is a vanity supply/drain or caulk failure, NOT covered in this scope. Disclose in writing: a plumber should verify/repair the source before close-up or the issue can recur. This disclosure protects ARC.</t>
        </is>
      </c>
    </row>
    <row r="79" ht="25" customHeight="1">
      <c r="B79" s="35" t="inlineStr">
        <is>
          <t>5.</t>
        </is>
      </c>
      <c r="C79" s="36" t="inlineStr">
        <is>
          <t>INSULATION: Not included — assumed interior partition. If wet insulation is found in the cavity, add WTR INS ($0.86/SF) by change order.</t>
        </is>
      </c>
    </row>
    <row r="80" ht="36" customHeight="1">
      <c r="B80" s="35" t="inlineStr">
        <is>
          <t>6.</t>
        </is>
      </c>
      <c r="C80" s="36" t="inlineStr">
        <is>
          <t>BASEBOARD: Priced as detach &amp; reset (reuse existing). If the affected piece is swollen, replace that piece only — FCW LAMB $7.62/LF is the only base-install line in the current export (verify base profile in Xactimate before quoting a full replace).</t>
        </is>
      </c>
    </row>
    <row r="81" ht="25" customHeight="1">
      <c r="B81" s="35" t="inlineStr">
        <is>
          <t>7.</t>
        </is>
      </c>
      <c r="C81" s="36" t="inlineStr">
        <is>
          <t>TAX: Materials-only 8.25% on a 40% material placeholder — an ESTIMATE. Texas labor for residential restoration is not taxable. True up from Xactimate 'Mat Only' before send.</t>
        </is>
      </c>
    </row>
    <row r="82" ht="25" customHeight="1">
      <c r="B82" s="35" t="inlineStr">
        <is>
          <t>8.</t>
        </is>
      </c>
      <c r="C82" s="36" t="inlineStr">
        <is>
          <t>CUSTOMER WANTS A COST BREAKDOWN: proposal will show price by scope section (mitigation / rebuild) for each option — enough to satisfy the request without itemizing machines or day counts.</t>
        </is>
      </c>
    </row>
    <row r="83" ht="14" customHeight="1">
      <c r="B83" s="35" t="inlineStr">
        <is>
          <t>9.</t>
        </is>
      </c>
      <c r="C83" s="36" t="inlineStr">
        <is>
          <t>NO mold testing included (TDLR conflict-of-interest — that belongs to a third-party assessor).</t>
        </is>
      </c>
    </row>
  </sheetData>
  <mergeCells count="64">
    <mergeCell ref="E21:I21"/>
    <mergeCell ref="B16:C16"/>
    <mergeCell ref="E12:I12"/>
    <mergeCell ref="B7:C7"/>
    <mergeCell ref="E24:I24"/>
    <mergeCell ref="A66:I66"/>
    <mergeCell ref="C82:I82"/>
    <mergeCell ref="B72:I72"/>
    <mergeCell ref="E71:I71"/>
    <mergeCell ref="B22:C22"/>
    <mergeCell ref="A3:I3"/>
    <mergeCell ref="E23:I23"/>
    <mergeCell ref="A74:I74"/>
    <mergeCell ref="B18:C18"/>
    <mergeCell ref="E8:I8"/>
    <mergeCell ref="E14:I14"/>
    <mergeCell ref="A55:I55"/>
    <mergeCell ref="A26:I26"/>
    <mergeCell ref="E17:I17"/>
    <mergeCell ref="C81:I81"/>
    <mergeCell ref="B12:C12"/>
    <mergeCell ref="B21:C21"/>
    <mergeCell ref="A2:I2"/>
    <mergeCell ref="B11:C11"/>
    <mergeCell ref="A5:I5"/>
    <mergeCell ref="E20:I20"/>
    <mergeCell ref="C78:I78"/>
    <mergeCell ref="E10:I10"/>
    <mergeCell ref="C77:I77"/>
    <mergeCell ref="B23:C23"/>
    <mergeCell ref="E13:I13"/>
    <mergeCell ref="E19:I19"/>
    <mergeCell ref="B14:C14"/>
    <mergeCell ref="C83:I83"/>
    <mergeCell ref="B67:I67"/>
    <mergeCell ref="B17:C17"/>
    <mergeCell ref="B8:C8"/>
    <mergeCell ref="E9:I9"/>
    <mergeCell ref="B13:C13"/>
    <mergeCell ref="B69:C69"/>
    <mergeCell ref="A43:I43"/>
    <mergeCell ref="E15:I15"/>
    <mergeCell ref="E6:I6"/>
    <mergeCell ref="C79:I79"/>
    <mergeCell ref="B19:C19"/>
    <mergeCell ref="B10:C10"/>
    <mergeCell ref="E11:I11"/>
    <mergeCell ref="B9:C9"/>
    <mergeCell ref="A34:I34"/>
    <mergeCell ref="B6:C6"/>
    <mergeCell ref="B24:C24"/>
    <mergeCell ref="B68:C68"/>
    <mergeCell ref="C75:I75"/>
    <mergeCell ref="E7:I7"/>
    <mergeCell ref="B15:C15"/>
    <mergeCell ref="C80:I80"/>
    <mergeCell ref="E16:I16"/>
    <mergeCell ref="A60:I60"/>
    <mergeCell ref="B20:C20"/>
    <mergeCell ref="B71:D71"/>
    <mergeCell ref="A1:I1"/>
    <mergeCell ref="E22:I22"/>
    <mergeCell ref="C76:I76"/>
    <mergeCell ref="E18:I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2026-08-06T22:43:34Z</dcterms:created>
  <dcterms:modified xsi:type="dcterms:W3CDTF">2026-08-06T22:43:34Z</dcterms:modified>
</cp:coreProperties>
</file>